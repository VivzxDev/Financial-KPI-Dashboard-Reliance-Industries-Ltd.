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x\Downloads\"/>
    </mc:Choice>
  </mc:AlternateContent>
  <xr:revisionPtr revIDLastSave="0" documentId="13_ncr:1_{FD0F276C-1BB6-4027-85A1-EB222B40CDBC}" xr6:coauthVersionLast="47" xr6:coauthVersionMax="47" xr10:uidLastSave="{00000000-0000-0000-0000-000000000000}"/>
  <bookViews>
    <workbookView xWindow="-110" yWindow="-110" windowWidth="19420" windowHeight="11020" activeTab="1" xr2:uid="{22FE2CAF-C8EC-45E9-B171-E42DAA44D86E}"/>
  </bookViews>
  <sheets>
    <sheet name="Raw Data " sheetId="4" r:id="rId1"/>
    <sheet name="Ratio Analysis" sheetId="2" r:id="rId2"/>
    <sheet name="Dashboard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5" i="2" l="1"/>
  <c r="E15" i="2"/>
  <c r="C15" i="2"/>
  <c r="D22" i="2"/>
  <c r="E22" i="2"/>
  <c r="C22" i="2"/>
  <c r="D19" i="2"/>
  <c r="E19" i="2"/>
  <c r="C19" i="2"/>
  <c r="D18" i="2"/>
  <c r="E18" i="2"/>
  <c r="C18" i="2"/>
  <c r="D14" i="2"/>
  <c r="E14" i="2"/>
  <c r="C14" i="2"/>
  <c r="D11" i="2"/>
  <c r="E11" i="2"/>
  <c r="C11" i="2"/>
  <c r="D10" i="2"/>
  <c r="E10" i="2"/>
  <c r="C10" i="2"/>
  <c r="D9" i="2"/>
  <c r="E9" i="2"/>
  <c r="C9" i="2"/>
  <c r="D8" i="2"/>
  <c r="E8" i="2"/>
  <c r="C8" i="2"/>
  <c r="D7" i="2"/>
  <c r="E7" i="2"/>
  <c r="C7" i="2"/>
</calcChain>
</file>

<file path=xl/sharedStrings.xml><?xml version="1.0" encoding="utf-8"?>
<sst xmlns="http://schemas.openxmlformats.org/spreadsheetml/2006/main" count="124" uniqueCount="64">
  <si>
    <t>Particulars</t>
  </si>
  <si>
    <t>Revenue from Operations</t>
  </si>
  <si>
    <t>Cost of Goods Sold</t>
  </si>
  <si>
    <t>Gross Profit</t>
  </si>
  <si>
    <t>Operating Expenses</t>
  </si>
  <si>
    <t>EBITDA</t>
  </si>
  <si>
    <t>Depreciation</t>
  </si>
  <si>
    <t>EBIT</t>
  </si>
  <si>
    <t>Interest/Finance Cost</t>
  </si>
  <si>
    <t>Profit Before Tax (PBT)</t>
  </si>
  <si>
    <t>Tax</t>
  </si>
  <si>
    <t>Net Profit (PAT)</t>
  </si>
  <si>
    <t>FY2023</t>
  </si>
  <si>
    <t>FY2024</t>
  </si>
  <si>
    <t>From Balance Sheet extract:</t>
  </si>
  <si>
    <t>Current Assets</t>
  </si>
  <si>
    <t>Current Liabilities</t>
  </si>
  <si>
    <t>Inventory</t>
  </si>
  <si>
    <t>Trade Receivables</t>
  </si>
  <si>
    <t>Cash &amp; Cash Equivalents</t>
  </si>
  <si>
    <t>Total Assets</t>
  </si>
  <si>
    <t>Total Equity</t>
  </si>
  <si>
    <t>Total Debt</t>
  </si>
  <si>
    <t>Total Liabilities</t>
  </si>
  <si>
    <t>FY2022-23</t>
  </si>
  <si>
    <t>FY2023-24</t>
  </si>
  <si>
    <t>FY2024-25</t>
  </si>
  <si>
    <t>Ratio Analysis sheet</t>
  </si>
  <si>
    <t>Ratios</t>
  </si>
  <si>
    <t>FY2025</t>
  </si>
  <si>
    <t>GP Margin %</t>
  </si>
  <si>
    <t>Benchmark</t>
  </si>
  <si>
    <t>Net Profit Margin %</t>
  </si>
  <si>
    <t>EBITDA Margin %</t>
  </si>
  <si>
    <t>ROE %</t>
  </si>
  <si>
    <t>Profitability Ratios</t>
  </si>
  <si>
    <t>ROA %</t>
  </si>
  <si>
    <t>Liquidity Ratios</t>
  </si>
  <si>
    <t>Current Ratio</t>
  </si>
  <si>
    <t>Quick Ratio</t>
  </si>
  <si>
    <t xml:space="preserve"> Solvency Ratios</t>
  </si>
  <si>
    <t>Debt to Equity</t>
  </si>
  <si>
    <t>Interest Coverage</t>
  </si>
  <si>
    <t>Efficiency Ratio</t>
  </si>
  <si>
    <t>Asset Turnover</t>
  </si>
  <si>
    <t>Higher the better</t>
  </si>
  <si>
    <t>Above 15% is good</t>
  </si>
  <si>
    <t>Above 5% is good</t>
  </si>
  <si>
    <t>2:1 is ideal</t>
  </si>
  <si>
    <t>1:1 is ideal</t>
  </si>
  <si>
    <t>Lower the better</t>
  </si>
  <si>
    <t>Above 3x is good</t>
  </si>
  <si>
    <t>Revenue</t>
  </si>
  <si>
    <t>Net Profit</t>
  </si>
  <si>
    <t>Chart 1: Revenue vs Net Profit</t>
  </si>
  <si>
    <t>Chart 2:Profit Margins</t>
  </si>
  <si>
    <t>Chart 3:Liquidity Ratios</t>
  </si>
  <si>
    <t>Chart 4:Debt to Equity</t>
  </si>
  <si>
    <t>Chart 5:ROE vs ROA</t>
  </si>
  <si>
    <t>Reliance Industries Ltd. — Financial Analysis Dashboard (FY2023-25)</t>
  </si>
  <si>
    <t>RAW DATA FOR RELIANCE LTD.</t>
  </si>
  <si>
    <t>From P&amp;L Statement Extract :                                     (₹ Crores)</t>
  </si>
  <si>
    <t>(₹ Crores)</t>
  </si>
  <si>
    <t>Ratio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</si>
</sst>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0" fontId="5" fillId="0" borderId="0" xfId="0" applyFont="1" applyAlignment="1">
      <alignment horizontal="center"/>
    </xf>
    <xf numFmtId="0" fontId="0" fillId="0" borderId="1" xfId="0" applyBorder="1"/>
    <xf numFmtId="3" fontId="0" fillId="0" borderId="1" xfId="0" applyNumberFormat="1" applyBorder="1"/>
    <xf numFmtId="0" fontId="0" fillId="0" borderId="1" xfId="0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Font="1" applyBorder="1"/>
    <xf numFmtId="0" fontId="4" fillId="0" borderId="0" xfId="0" applyFont="1" applyAlignment="1"/>
    <xf numFmtId="0" fontId="6" fillId="0" borderId="0" xfId="0" applyFont="1" applyAlignment="1">
      <alignment horizontal="center"/>
    </xf>
    <xf numFmtId="0" fontId="3" fillId="0" borderId="0" xfId="0" applyFont="1"/>
    <xf numFmtId="0" fontId="6" fillId="0" borderId="1" xfId="0" applyFont="1" applyBorder="1" applyAlignment="1">
      <alignment horizontal="left"/>
    </xf>
    <xf numFmtId="0" fontId="2" fillId="0" borderId="1" xfId="0" applyFont="1" applyBorder="1"/>
    <xf numFmtId="0" fontId="6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1" xfId="0" applyFont="1" applyBorder="1"/>
    <xf numFmtId="2" fontId="2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3" fillId="0" borderId="1" xfId="0" applyFont="1" applyBorder="1"/>
    <xf numFmtId="0" fontId="4" fillId="0" borderId="1" xfId="0" applyFont="1" applyBorder="1"/>
    <xf numFmtId="3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vs Net Proft (₹ Crores)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Dashboard!$A$4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Dashboard!$B$3:$D$3</c:f>
              <c:strCache>
                <c:ptCount val="3"/>
                <c:pt idx="0">
                  <c:v>FY2023</c:v>
                </c:pt>
                <c:pt idx="1">
                  <c:v>FY2024</c:v>
                </c:pt>
                <c:pt idx="2">
                  <c:v>FY2025</c:v>
                </c:pt>
              </c:strCache>
            </c:strRef>
          </c:cat>
          <c:val>
            <c:numRef>
              <c:f>Dashboard!$B$4:$D$4</c:f>
              <c:numCache>
                <c:formatCode>General</c:formatCode>
                <c:ptCount val="3"/>
                <c:pt idx="0">
                  <c:v>891311</c:v>
                </c:pt>
                <c:pt idx="1">
                  <c:v>914472</c:v>
                </c:pt>
                <c:pt idx="2">
                  <c:v>980136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0-42BB-B64A-C8F97270AEF1}"/>
            </c:ext>
          </c:extLst>
        </c:ser>
        <c:ser>
          <c:idx val="1"/>
          <c:order val="1"/>
          <c:tx>
            <c:strRef>
              <c:f>Dashboard!$A$5</c:f>
              <c:strCache>
                <c:ptCount val="1"/>
                <c:pt idx="0">
                  <c:v>Net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Dashboard!$B$3:$D$3</c:f>
              <c:strCache>
                <c:ptCount val="3"/>
                <c:pt idx="0">
                  <c:v>FY2023</c:v>
                </c:pt>
                <c:pt idx="1">
                  <c:v>FY2024</c:v>
                </c:pt>
                <c:pt idx="2">
                  <c:v>FY2025</c:v>
                </c:pt>
              </c:strCache>
            </c:strRef>
          </c:cat>
          <c:val>
            <c:numRef>
              <c:f>Dashboard!$B$5:$D$5</c:f>
              <c:numCache>
                <c:formatCode>General</c:formatCode>
                <c:ptCount val="3"/>
                <c:pt idx="0">
                  <c:v>74088</c:v>
                </c:pt>
                <c:pt idx="1">
                  <c:v>79020</c:v>
                </c:pt>
                <c:pt idx="2">
                  <c:v>81309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20-42BB-B64A-C8F97270AE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6587056"/>
        <c:axId val="2006587888"/>
      </c:barChart>
      <c:catAx>
        <c:axId val="200658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587888"/>
        <c:crosses val="autoZero"/>
        <c:auto val="1"/>
        <c:lblAlgn val="ctr"/>
        <c:lblOffset val="100"/>
        <c:noMultiLvlLbl val="0"/>
      </c:catAx>
      <c:valAx>
        <c:axId val="200658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587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 Margin Trends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Dashboard!$B$7:$B$8</c:f>
              <c:strCache>
                <c:ptCount val="2"/>
                <c:pt idx="0">
                  <c:v>Chart 2:Profit Margins</c:v>
                </c:pt>
                <c:pt idx="1">
                  <c:v>FY2023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Dashboard!$A$9:$A$11</c:f>
              <c:strCache>
                <c:ptCount val="3"/>
                <c:pt idx="0">
                  <c:v>GP Margin %</c:v>
                </c:pt>
                <c:pt idx="1">
                  <c:v>Net Profit Margin %</c:v>
                </c:pt>
                <c:pt idx="2">
                  <c:v>EBITDA Margin %</c:v>
                </c:pt>
              </c:strCache>
            </c:strRef>
          </c:cat>
          <c:val>
            <c:numRef>
              <c:f>Dashboard!$B$9:$B$11</c:f>
              <c:numCache>
                <c:formatCode>General</c:formatCode>
                <c:ptCount val="3"/>
                <c:pt idx="0">
                  <c:v>33.97</c:v>
                </c:pt>
                <c:pt idx="1">
                  <c:v>8.31</c:v>
                </c:pt>
                <c:pt idx="2">
                  <c:v>17.27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FF-4A86-947F-D1D68CDE7C2E}"/>
            </c:ext>
          </c:extLst>
        </c:ser>
        <c:ser>
          <c:idx val="1"/>
          <c:order val="1"/>
          <c:tx>
            <c:strRef>
              <c:f>Dashboard!$C$7:$C$8</c:f>
              <c:strCache>
                <c:ptCount val="2"/>
                <c:pt idx="0">
                  <c:v>Chart 2:Profit Margins</c:v>
                </c:pt>
                <c:pt idx="1">
                  <c:v>FY2024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Dashboard!$A$9:$A$11</c:f>
              <c:strCache>
                <c:ptCount val="3"/>
                <c:pt idx="0">
                  <c:v>GP Margin %</c:v>
                </c:pt>
                <c:pt idx="1">
                  <c:v>Net Profit Margin %</c:v>
                </c:pt>
                <c:pt idx="2">
                  <c:v>EBITDA Margin %</c:v>
                </c:pt>
              </c:strCache>
            </c:strRef>
          </c:cat>
          <c:val>
            <c:numRef>
              <c:f>Dashboard!$C$9:$C$11</c:f>
              <c:numCache>
                <c:formatCode>General</c:formatCode>
                <c:ptCount val="3"/>
                <c:pt idx="0">
                  <c:v>35.99</c:v>
                </c:pt>
                <c:pt idx="1">
                  <c:v>8.64</c:v>
                </c:pt>
                <c:pt idx="2">
                  <c:v>19.489999999999998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FF-4A86-947F-D1D68CDE7C2E}"/>
            </c:ext>
          </c:extLst>
        </c:ser>
        <c:ser>
          <c:idx val="2"/>
          <c:order val="2"/>
          <c:tx>
            <c:strRef>
              <c:f>Dashboard!$D$7:$D$8</c:f>
              <c:strCache>
                <c:ptCount val="2"/>
                <c:pt idx="0">
                  <c:v>Chart 2:Profit Margins</c:v>
                </c:pt>
                <c:pt idx="1">
                  <c:v>FY2025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Dashboard!$A$9:$A$11</c:f>
              <c:strCache>
                <c:ptCount val="3"/>
                <c:pt idx="0">
                  <c:v>GP Margin %</c:v>
                </c:pt>
                <c:pt idx="1">
                  <c:v>Net Profit Margin %</c:v>
                </c:pt>
                <c:pt idx="2">
                  <c:v>EBITDA Margin %</c:v>
                </c:pt>
              </c:strCache>
            </c:strRef>
          </c:cat>
          <c:val>
            <c:numRef>
              <c:f>Dashboard!$D$9:$D$11</c:f>
              <c:numCache>
                <c:formatCode>General</c:formatCode>
                <c:ptCount val="3"/>
                <c:pt idx="0">
                  <c:v>35.75</c:v>
                </c:pt>
                <c:pt idx="1">
                  <c:v>8.2899999999999991</c:v>
                </c:pt>
                <c:pt idx="2">
                  <c:v>16.88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FF-4A86-947F-D1D68CDE7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6752704"/>
        <c:axId val="2106751456"/>
      </c:lineChart>
      <c:catAx>
        <c:axId val="210675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751456"/>
        <c:crosses val="autoZero"/>
        <c:auto val="1"/>
        <c:lblAlgn val="ctr"/>
        <c:lblOffset val="100"/>
        <c:noMultiLvlLbl val="0"/>
      </c:catAx>
      <c:valAx>
        <c:axId val="210675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752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effectLst>
                  <a:outerShdw blurRad="50800" dist="50800" dir="5400000" algn="ctr" rotWithShape="0">
                    <a:schemeClr val="bg1"/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gradFill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  <a:effectLst>
      <a:outerShdw blurRad="50800" dist="50800" dir="5400000" algn="ctr" rotWithShape="0">
        <a:schemeClr val="bg1"/>
      </a:outerShdw>
    </a:effectLst>
  </c:spPr>
  <c:txPr>
    <a:bodyPr/>
    <a:lstStyle/>
    <a:p>
      <a:pPr>
        <a:defRPr>
          <a:ln>
            <a:noFill/>
          </a:ln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chemeClr val="tx1"/>
                </a:solidFill>
              </a:rPr>
              <a:t>Liquidity Ratios (Current vs Quick)</a:t>
            </a:r>
            <a:endParaRPr lang="en-IN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5393744531933515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Dashboard!$A$15</c:f>
              <c:strCache>
                <c:ptCount val="1"/>
                <c:pt idx="0">
                  <c:v>Current Ratio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Dashboard!$B$14:$D$14</c:f>
              <c:strCache>
                <c:ptCount val="3"/>
                <c:pt idx="0">
                  <c:v>FY2023</c:v>
                </c:pt>
                <c:pt idx="1">
                  <c:v>FY2024</c:v>
                </c:pt>
                <c:pt idx="2">
                  <c:v>FY2025</c:v>
                </c:pt>
              </c:strCache>
            </c:strRef>
          </c:cat>
          <c:val>
            <c:numRef>
              <c:f>Dashboard!$B$15:$D$15</c:f>
              <c:numCache>
                <c:formatCode>General</c:formatCode>
                <c:ptCount val="3"/>
                <c:pt idx="0">
                  <c:v>1.07</c:v>
                </c:pt>
                <c:pt idx="1">
                  <c:v>1.18</c:v>
                </c:pt>
                <c:pt idx="2">
                  <c:v>1.1000000000000001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4A-495B-9FB6-9F62249CFEC6}"/>
            </c:ext>
          </c:extLst>
        </c:ser>
        <c:ser>
          <c:idx val="1"/>
          <c:order val="1"/>
          <c:tx>
            <c:strRef>
              <c:f>Dashboard!$A$16</c:f>
              <c:strCache>
                <c:ptCount val="1"/>
                <c:pt idx="0">
                  <c:v>Quick Ratio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Dashboard!$B$14:$D$14</c:f>
              <c:strCache>
                <c:ptCount val="3"/>
                <c:pt idx="0">
                  <c:v>FY2023</c:v>
                </c:pt>
                <c:pt idx="1">
                  <c:v>FY2024</c:v>
                </c:pt>
                <c:pt idx="2">
                  <c:v>FY2025</c:v>
                </c:pt>
              </c:strCache>
            </c:strRef>
          </c:cat>
          <c:val>
            <c:numRef>
              <c:f>Dashboard!$B$16:$D$16</c:f>
              <c:numCache>
                <c:formatCode>General</c:formatCode>
                <c:ptCount val="3"/>
                <c:pt idx="0">
                  <c:v>0.72</c:v>
                </c:pt>
                <c:pt idx="1">
                  <c:v>0.88</c:v>
                </c:pt>
                <c:pt idx="2">
                  <c:v>0.84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4A-495B-9FB6-9F62249CF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6592752"/>
        <c:axId val="2106586512"/>
      </c:barChart>
      <c:catAx>
        <c:axId val="2106592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586512"/>
        <c:crosses val="autoZero"/>
        <c:auto val="1"/>
        <c:lblAlgn val="ctr"/>
        <c:lblOffset val="100"/>
        <c:noMultiLvlLbl val="0"/>
      </c:catAx>
      <c:valAx>
        <c:axId val="210658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592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Debt to Equity Ratio Trend</a:t>
            </a:r>
          </a:p>
        </c:rich>
      </c:tx>
      <c:layout>
        <c:manualLayout>
          <c:xMode val="edge"/>
          <c:yMode val="edge"/>
          <c:x val="0.28970122484689415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Dashboard!$A$20</c:f>
              <c:strCache>
                <c:ptCount val="1"/>
                <c:pt idx="0">
                  <c:v>Debt to Equity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Dashboard!$B$19:$D$19</c:f>
              <c:strCache>
                <c:ptCount val="3"/>
                <c:pt idx="0">
                  <c:v>FY2023</c:v>
                </c:pt>
                <c:pt idx="1">
                  <c:v>FY2024</c:v>
                </c:pt>
                <c:pt idx="2">
                  <c:v>FY2025</c:v>
                </c:pt>
              </c:strCache>
            </c:strRef>
          </c:cat>
          <c:val>
            <c:numRef>
              <c:f>Dashboard!$B$20:$D$20</c:f>
              <c:numCache>
                <c:formatCode>General</c:formatCode>
                <c:ptCount val="3"/>
                <c:pt idx="0">
                  <c:v>0.38</c:v>
                </c:pt>
                <c:pt idx="1">
                  <c:v>0.35</c:v>
                </c:pt>
                <c:pt idx="2">
                  <c:v>0.34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56-49B9-8D5C-04D79D7E265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06752288"/>
        <c:axId val="2106750624"/>
      </c:barChart>
      <c:catAx>
        <c:axId val="2106752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750624"/>
        <c:crosses val="autoZero"/>
        <c:auto val="1"/>
        <c:lblAlgn val="ctr"/>
        <c:lblOffset val="100"/>
        <c:noMultiLvlLbl val="0"/>
      </c:catAx>
      <c:valAx>
        <c:axId val="210675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752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chemeClr val="tx1"/>
                </a:solidFill>
              </a:rPr>
              <a:t>Return on Equity vs Return on Assets (%)</a:t>
            </a:r>
            <a:endParaRPr lang="en-IN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Dashboard!$A$24</c:f>
              <c:strCache>
                <c:ptCount val="1"/>
                <c:pt idx="0">
                  <c:v>ROE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Dashboard!$B$23:$D$23</c:f>
              <c:strCache>
                <c:ptCount val="3"/>
                <c:pt idx="0">
                  <c:v>FY2023</c:v>
                </c:pt>
                <c:pt idx="1">
                  <c:v>FY2024</c:v>
                </c:pt>
                <c:pt idx="2">
                  <c:v>FY2025</c:v>
                </c:pt>
              </c:strCache>
            </c:strRef>
          </c:cat>
          <c:val>
            <c:numRef>
              <c:f>Dashboard!$B$24:$D$24</c:f>
              <c:numCache>
                <c:formatCode>General</c:formatCode>
                <c:ptCount val="3"/>
                <c:pt idx="0">
                  <c:v>8.94</c:v>
                </c:pt>
                <c:pt idx="1">
                  <c:v>8.5299999999999994</c:v>
                </c:pt>
                <c:pt idx="2">
                  <c:v>8.0500000000000007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B6-4F48-B850-270BCF6BB838}"/>
            </c:ext>
          </c:extLst>
        </c:ser>
        <c:ser>
          <c:idx val="1"/>
          <c:order val="1"/>
          <c:tx>
            <c:strRef>
              <c:f>Dashboard!$A$25</c:f>
              <c:strCache>
                <c:ptCount val="1"/>
                <c:pt idx="0">
                  <c:v>ROA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Dashboard!$B$23:$D$23</c:f>
              <c:strCache>
                <c:ptCount val="3"/>
                <c:pt idx="0">
                  <c:v>FY2023</c:v>
                </c:pt>
                <c:pt idx="1">
                  <c:v>FY2024</c:v>
                </c:pt>
                <c:pt idx="2">
                  <c:v>FY2025</c:v>
                </c:pt>
              </c:strCache>
            </c:strRef>
          </c:cat>
          <c:val>
            <c:numRef>
              <c:f>Dashboard!$B$25:$D$25</c:f>
              <c:numCache>
                <c:formatCode>General</c:formatCode>
                <c:ptCount val="3"/>
                <c:pt idx="0">
                  <c:v>4.6100000000000003</c:v>
                </c:pt>
                <c:pt idx="1">
                  <c:v>4.5</c:v>
                </c:pt>
                <c:pt idx="2">
                  <c:v>4.17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B6-4F48-B850-270BCF6BB8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8634800"/>
        <c:axId val="2098635216"/>
      </c:lineChart>
      <c:catAx>
        <c:axId val="2098634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635216"/>
        <c:crosses val="autoZero"/>
        <c:auto val="1"/>
        <c:lblAlgn val="ctr"/>
        <c:lblOffset val="100"/>
        <c:noMultiLvlLbl val="0"/>
      </c:catAx>
      <c:valAx>
        <c:axId val="209863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63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1</xdr:row>
      <xdr:rowOff>19050</xdr:rowOff>
    </xdr:from>
    <xdr:to>
      <xdr:col>7</xdr:col>
      <xdr:colOff>245750</xdr:colOff>
      <xdr:row>20</xdr:row>
      <xdr:rowOff>120200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16B758-73EA-4A2E-B78F-D075F182FB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339724</xdr:colOff>
      <xdr:row>1</xdr:row>
      <xdr:rowOff>31750</xdr:rowOff>
    </xdr:from>
    <xdr:to>
      <xdr:col>14</xdr:col>
      <xdr:colOff>204474</xdr:colOff>
      <xdr:row>20</xdr:row>
      <xdr:rowOff>132900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8B0F6F-2D18-4ACB-8516-7B67AC2592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31750</xdr:colOff>
      <xdr:row>21</xdr:row>
      <xdr:rowOff>19050</xdr:rowOff>
    </xdr:from>
    <xdr:to>
      <xdr:col>7</xdr:col>
      <xdr:colOff>214000</xdr:colOff>
      <xdr:row>40</xdr:row>
      <xdr:rowOff>120200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4E07F22-98E4-4ED9-A521-A0E368F99B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333375</xdr:colOff>
      <xdr:row>20</xdr:row>
      <xdr:rowOff>180973</xdr:rowOff>
    </xdr:from>
    <xdr:to>
      <xdr:col>14</xdr:col>
      <xdr:colOff>198125</xdr:colOff>
      <xdr:row>40</xdr:row>
      <xdr:rowOff>97973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2FC5808-E573-4657-8EC5-D7E679CA4A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12700</xdr:colOff>
      <xdr:row>40</xdr:row>
      <xdr:rowOff>171450</xdr:rowOff>
    </xdr:from>
    <xdr:to>
      <xdr:col>7</xdr:col>
      <xdr:colOff>194950</xdr:colOff>
      <xdr:row>60</xdr:row>
      <xdr:rowOff>88450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3C4CF08-D524-4ACE-AA92-1C99F2ECDB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0.36597</cdr:x>
      <cdr:y>0.10185</cdr:y>
    </cdr:from>
    <cdr:to>
      <cdr:x>0.73681</cdr:x>
      <cdr:y>0.36111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D317B88-1E03-41B3-8391-633DC74E3FBC}"/>
            </a:ext>
          </a:extLst>
        </cdr:cNvPr>
        <cdr:cNvSpPr txBox="1"/>
      </cdr:nvSpPr>
      <cdr:spPr>
        <a:xfrm xmlns:a="http://schemas.openxmlformats.org/drawingml/2006/main">
          <a:off x="1673225" y="279400"/>
          <a:ext cx="1695450" cy="711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1050"/>
            <a:t>Ideal</a:t>
          </a:r>
          <a:r>
            <a:rPr lang="en-IN" sz="1050" baseline="0"/>
            <a:t> Benchmark: 1.0</a:t>
          </a:r>
          <a:endParaRPr lang="en-IN" sz="105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0.40208</cdr:x>
      <cdr:y>0.17477</cdr:y>
    </cdr:from>
    <cdr:to>
      <cdr:x>0.67986</cdr:x>
      <cdr:y>0.29051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7F83D1F-FE50-46DE-A6D6-723EE0B74853}"/>
            </a:ext>
          </a:extLst>
        </cdr:cNvPr>
        <cdr:cNvSpPr txBox="1"/>
      </cdr:nvSpPr>
      <cdr:spPr>
        <a:xfrm xmlns:a="http://schemas.openxmlformats.org/drawingml/2006/main">
          <a:off x="1838325" y="479425"/>
          <a:ext cx="1270000" cy="317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1100"/>
            <a:t>Lower</a:t>
          </a:r>
          <a:r>
            <a:rPr lang="en-IN" sz="1100" baseline="0"/>
            <a:t> is better</a:t>
          </a:r>
          <a:endParaRPr lang="en-IN" sz="1100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0.37292</cdr:x>
      <cdr:y>0.09259</cdr:y>
    </cdr:from>
    <cdr:to>
      <cdr:x>0.80069</cdr:x>
      <cdr:y>0.19676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A912B9F-41F0-4951-8A2E-B2FDA456CC12}"/>
            </a:ext>
          </a:extLst>
        </cdr:cNvPr>
        <cdr:cNvSpPr txBox="1"/>
      </cdr:nvSpPr>
      <cdr:spPr>
        <a:xfrm xmlns:a="http://schemas.openxmlformats.org/drawingml/2006/main">
          <a:off x="1704975" y="254000"/>
          <a:ext cx="195580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/>
            <a:t>Benchmark ROE: 15%</a:t>
          </a:r>
          <a:endParaRPr lang="en-IN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E9702-315C-42BA-B161-156A2CD4893B}">
  <dimension ref="A1:M30"/>
  <sheetViews>
    <sheetView topLeftCell="A20" zoomScale="72" workbookViewId="0">
      <selection activeCell="M17" sqref="M17"/>
    </sheetView>
  </sheetViews>
  <sheetFormatPr defaultRowHeight="14.5" x14ac:dyDescent="0.35"/>
  <cols>
    <col min="2" max="2" width="31.26953125" bestFit="1" customWidth="1"/>
    <col min="3" max="5" width="12" bestFit="1" customWidth="1"/>
    <col min="10" max="10" width="8.7265625" customWidth="1"/>
  </cols>
  <sheetData>
    <row r="1" spans="1:13" ht="21" x14ac:dyDescent="0.5">
      <c r="G1" s="25" t="s">
        <v>60</v>
      </c>
      <c r="H1" s="25"/>
      <c r="I1" s="25"/>
      <c r="J1" s="25"/>
      <c r="K1" s="25"/>
      <c r="L1" s="25"/>
      <c r="M1" s="25"/>
    </row>
    <row r="2" spans="1:13" x14ac:dyDescent="0.35">
      <c r="J2" s="1"/>
    </row>
    <row r="3" spans="1:13" ht="18.5" x14ac:dyDescent="0.45">
      <c r="A3" s="24"/>
      <c r="B3" s="33" t="s">
        <v>61</v>
      </c>
      <c r="C3" s="33"/>
      <c r="D3" s="33"/>
      <c r="E3" s="33"/>
    </row>
    <row r="4" spans="1:13" ht="18.5" x14ac:dyDescent="0.45">
      <c r="A4" s="26"/>
      <c r="B4" s="34"/>
      <c r="C4" s="34"/>
      <c r="D4" s="34"/>
      <c r="E4" s="34"/>
    </row>
    <row r="5" spans="1:13" ht="18.5" x14ac:dyDescent="0.45">
      <c r="A5" s="26"/>
      <c r="B5" s="35" t="s">
        <v>0</v>
      </c>
      <c r="C5" s="35" t="s">
        <v>24</v>
      </c>
      <c r="D5" s="35" t="s">
        <v>25</v>
      </c>
      <c r="E5" s="35" t="s">
        <v>26</v>
      </c>
    </row>
    <row r="6" spans="1:13" ht="18.5" x14ac:dyDescent="0.45">
      <c r="A6" s="26"/>
      <c r="B6" s="34" t="s">
        <v>1</v>
      </c>
      <c r="C6" s="36">
        <v>891311</v>
      </c>
      <c r="D6" s="36">
        <v>914472</v>
      </c>
      <c r="E6" s="36">
        <v>980136</v>
      </c>
    </row>
    <row r="7" spans="1:13" ht="18.5" x14ac:dyDescent="0.45">
      <c r="A7" s="26"/>
      <c r="B7" s="34" t="s">
        <v>2</v>
      </c>
      <c r="C7" s="36">
        <v>588483</v>
      </c>
      <c r="D7" s="36">
        <v>585343</v>
      </c>
      <c r="E7" s="36">
        <v>629689</v>
      </c>
    </row>
    <row r="8" spans="1:13" ht="18.5" x14ac:dyDescent="0.45">
      <c r="A8" s="26"/>
      <c r="B8" s="34" t="s">
        <v>3</v>
      </c>
      <c r="C8" s="36">
        <v>302828</v>
      </c>
      <c r="D8" s="36">
        <v>329129</v>
      </c>
      <c r="E8" s="36">
        <v>350447</v>
      </c>
    </row>
    <row r="9" spans="1:13" ht="18.5" x14ac:dyDescent="0.45">
      <c r="A9" s="26"/>
      <c r="B9" s="34" t="s">
        <v>4</v>
      </c>
      <c r="C9" s="36">
        <v>749149</v>
      </c>
      <c r="D9" s="36">
        <v>752290</v>
      </c>
      <c r="E9" s="36">
        <v>814692</v>
      </c>
    </row>
    <row r="10" spans="1:13" ht="18.5" x14ac:dyDescent="0.45">
      <c r="A10" s="26"/>
      <c r="B10" s="34" t="s">
        <v>5</v>
      </c>
      <c r="C10" s="36">
        <v>153920</v>
      </c>
      <c r="D10" s="36">
        <v>178290</v>
      </c>
      <c r="E10" s="36">
        <v>165421</v>
      </c>
    </row>
    <row r="11" spans="1:13" ht="18.5" x14ac:dyDescent="0.45">
      <c r="A11" s="26"/>
      <c r="B11" s="34" t="s">
        <v>6</v>
      </c>
      <c r="C11" s="36">
        <v>40303</v>
      </c>
      <c r="D11" s="36">
        <v>50832</v>
      </c>
      <c r="E11" s="36">
        <v>53136</v>
      </c>
    </row>
    <row r="12" spans="1:13" ht="18.5" x14ac:dyDescent="0.45">
      <c r="A12" s="26"/>
      <c r="B12" s="34" t="s">
        <v>7</v>
      </c>
      <c r="C12" s="36">
        <v>113167</v>
      </c>
      <c r="D12" s="36">
        <v>127458</v>
      </c>
      <c r="E12" s="36">
        <v>130286</v>
      </c>
    </row>
    <row r="13" spans="1:13" ht="18.5" x14ac:dyDescent="0.45">
      <c r="A13" s="26"/>
      <c r="B13" s="34" t="s">
        <v>8</v>
      </c>
      <c r="C13" s="36">
        <v>19571</v>
      </c>
      <c r="D13" s="36">
        <v>23118</v>
      </c>
      <c r="E13" s="36">
        <v>24269</v>
      </c>
    </row>
    <row r="14" spans="1:13" ht="18.5" x14ac:dyDescent="0.45">
      <c r="A14" s="26"/>
      <c r="B14" s="34" t="s">
        <v>9</v>
      </c>
      <c r="C14" s="36">
        <v>94046</v>
      </c>
      <c r="D14" s="36">
        <v>104340</v>
      </c>
      <c r="E14" s="36">
        <v>106017</v>
      </c>
    </row>
    <row r="15" spans="1:13" ht="18.5" x14ac:dyDescent="0.45">
      <c r="A15" s="26"/>
      <c r="B15" s="34" t="s">
        <v>10</v>
      </c>
      <c r="C15" s="36">
        <v>20376</v>
      </c>
      <c r="D15" s="36">
        <v>25707</v>
      </c>
      <c r="E15" s="36">
        <v>25230</v>
      </c>
    </row>
    <row r="16" spans="1:13" x14ac:dyDescent="0.35">
      <c r="B16" s="13" t="s">
        <v>11</v>
      </c>
      <c r="C16" s="14">
        <v>74088</v>
      </c>
      <c r="D16" s="14">
        <v>79020</v>
      </c>
      <c r="E16" s="14">
        <v>81309</v>
      </c>
    </row>
    <row r="19" spans="2:5" ht="18.5" x14ac:dyDescent="0.45">
      <c r="B19" s="35" t="s">
        <v>14</v>
      </c>
      <c r="C19" s="34"/>
      <c r="D19" s="34"/>
      <c r="E19" s="35" t="s">
        <v>62</v>
      </c>
    </row>
    <row r="20" spans="2:5" ht="18.5" x14ac:dyDescent="0.45">
      <c r="B20" s="34"/>
      <c r="C20" s="34"/>
      <c r="D20" s="34"/>
      <c r="E20" s="34"/>
    </row>
    <row r="21" spans="2:5" ht="18.5" x14ac:dyDescent="0.45">
      <c r="B21" s="35" t="s">
        <v>0</v>
      </c>
      <c r="C21" s="35" t="s">
        <v>24</v>
      </c>
      <c r="D21" s="35" t="s">
        <v>25</v>
      </c>
      <c r="E21" s="35" t="s">
        <v>26</v>
      </c>
    </row>
    <row r="22" spans="2:5" ht="18.5" x14ac:dyDescent="0.45">
      <c r="B22" s="34" t="s">
        <v>15</v>
      </c>
      <c r="C22" s="36">
        <v>425296</v>
      </c>
      <c r="D22" s="36">
        <v>470100</v>
      </c>
      <c r="E22" s="36">
        <v>499270</v>
      </c>
    </row>
    <row r="23" spans="2:5" ht="18.5" x14ac:dyDescent="0.45">
      <c r="B23" s="34" t="s">
        <v>16</v>
      </c>
      <c r="C23" s="36">
        <v>395743</v>
      </c>
      <c r="D23" s="36">
        <v>397367</v>
      </c>
      <c r="E23" s="36">
        <v>453737</v>
      </c>
    </row>
    <row r="24" spans="2:5" ht="18.5" x14ac:dyDescent="0.45">
      <c r="B24" s="34" t="s">
        <v>17</v>
      </c>
      <c r="C24" s="36">
        <v>140008</v>
      </c>
      <c r="D24" s="36">
        <v>119502</v>
      </c>
      <c r="E24" s="36">
        <v>118709</v>
      </c>
    </row>
    <row r="25" spans="2:5" ht="18.5" x14ac:dyDescent="0.45">
      <c r="B25" s="34" t="s">
        <v>18</v>
      </c>
      <c r="C25" s="36">
        <v>28448</v>
      </c>
      <c r="D25" s="36">
        <v>31628</v>
      </c>
      <c r="E25" s="36">
        <v>42121</v>
      </c>
    </row>
    <row r="26" spans="2:5" ht="18.5" x14ac:dyDescent="0.45">
      <c r="B26" s="34" t="s">
        <v>19</v>
      </c>
      <c r="C26" s="36">
        <v>68664</v>
      </c>
      <c r="D26" s="36">
        <v>97225</v>
      </c>
      <c r="E26" s="36">
        <v>106502</v>
      </c>
    </row>
    <row r="27" spans="2:5" ht="18.5" x14ac:dyDescent="0.45">
      <c r="B27" s="34" t="s">
        <v>20</v>
      </c>
      <c r="C27" s="36">
        <v>1607431</v>
      </c>
      <c r="D27" s="36">
        <v>1755986</v>
      </c>
      <c r="E27" s="36">
        <v>1950121</v>
      </c>
    </row>
    <row r="28" spans="2:5" ht="18.5" x14ac:dyDescent="0.45">
      <c r="B28" s="34" t="s">
        <v>21</v>
      </c>
      <c r="C28" s="36">
        <v>828881</v>
      </c>
      <c r="D28" s="36">
        <v>925788</v>
      </c>
      <c r="E28" s="36">
        <v>1009626</v>
      </c>
    </row>
    <row r="29" spans="2:5" ht="18.5" x14ac:dyDescent="0.45">
      <c r="B29" s="34" t="s">
        <v>22</v>
      </c>
      <c r="C29" s="36">
        <v>313966</v>
      </c>
      <c r="D29" s="36">
        <v>324622</v>
      </c>
      <c r="E29" s="36">
        <v>347530</v>
      </c>
    </row>
    <row r="30" spans="2:5" ht="18.5" x14ac:dyDescent="0.45">
      <c r="B30" s="34" t="s">
        <v>23</v>
      </c>
      <c r="C30" s="36">
        <v>778558</v>
      </c>
      <c r="D30" s="36">
        <v>830198</v>
      </c>
      <c r="E30" s="36">
        <v>940495</v>
      </c>
    </row>
  </sheetData>
  <mergeCells count="2">
    <mergeCell ref="B3:E3"/>
    <mergeCell ref="G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A51D8-AD18-431E-A440-83B74E8E6E75}">
  <dimension ref="B1:K22"/>
  <sheetViews>
    <sheetView tabSelected="1" topLeftCell="A2" zoomScale="70" zoomScaleNormal="70" workbookViewId="0">
      <selection activeCell="O8" sqref="O8"/>
    </sheetView>
  </sheetViews>
  <sheetFormatPr defaultRowHeight="14.5" x14ac:dyDescent="0.35"/>
  <cols>
    <col min="2" max="2" width="25.54296875" bestFit="1" customWidth="1"/>
    <col min="3" max="5" width="9.6328125" bestFit="1" customWidth="1"/>
    <col min="6" max="6" width="23.81640625" bestFit="1" customWidth="1"/>
  </cols>
  <sheetData>
    <row r="1" spans="2:11" ht="21" x14ac:dyDescent="0.5">
      <c r="H1" s="25" t="s">
        <v>63</v>
      </c>
      <c r="I1" s="25"/>
      <c r="J1" s="25"/>
      <c r="K1" s="25"/>
    </row>
    <row r="3" spans="2:11" ht="21" x14ac:dyDescent="0.5">
      <c r="B3" s="27" t="s">
        <v>27</v>
      </c>
      <c r="C3" s="28"/>
      <c r="D3" s="28"/>
      <c r="E3" s="28"/>
      <c r="F3" s="28"/>
    </row>
    <row r="4" spans="2:11" ht="21" x14ac:dyDescent="0.5">
      <c r="B4" s="28"/>
      <c r="C4" s="28"/>
      <c r="D4" s="28"/>
      <c r="E4" s="28"/>
      <c r="F4" s="28"/>
    </row>
    <row r="5" spans="2:11" ht="21" x14ac:dyDescent="0.5">
      <c r="B5" s="29" t="s">
        <v>28</v>
      </c>
      <c r="C5" s="30" t="s">
        <v>12</v>
      </c>
      <c r="D5" s="30" t="s">
        <v>13</v>
      </c>
      <c r="E5" s="30" t="s">
        <v>29</v>
      </c>
      <c r="F5" s="30" t="s">
        <v>31</v>
      </c>
    </row>
    <row r="6" spans="2:11" ht="21" x14ac:dyDescent="0.5">
      <c r="B6" s="31" t="s">
        <v>35</v>
      </c>
      <c r="C6" s="28"/>
      <c r="D6" s="28"/>
      <c r="E6" s="28"/>
      <c r="F6" s="28"/>
    </row>
    <row r="7" spans="2:11" ht="21" x14ac:dyDescent="0.5">
      <c r="B7" s="28" t="s">
        <v>30</v>
      </c>
      <c r="C7" s="32">
        <f>('Raw Data '!C8/'Raw Data '!C6)*100</f>
        <v>33.975570816471468</v>
      </c>
      <c r="D7" s="32">
        <f>('Raw Data '!D8/'Raw Data '!D6)*100</f>
        <v>35.991151177947494</v>
      </c>
      <c r="E7" s="32">
        <f>('Raw Data '!E8/'Raw Data '!E6)*100</f>
        <v>35.754936049691061</v>
      </c>
      <c r="F7" s="30" t="s">
        <v>45</v>
      </c>
    </row>
    <row r="8" spans="2:11" ht="21" x14ac:dyDescent="0.5">
      <c r="B8" s="28" t="s">
        <v>32</v>
      </c>
      <c r="C8" s="32">
        <f>('Raw Data '!C16/'Raw Data '!C6)*100</f>
        <v>8.3122501573524836</v>
      </c>
      <c r="D8" s="32">
        <f>('Raw Data '!D16/'Raw Data '!D6)*100</f>
        <v>8.6410518856782925</v>
      </c>
      <c r="E8" s="32">
        <f>('Raw Data '!E16/'Raw Data '!E6)*100</f>
        <v>8.2956854967065805</v>
      </c>
      <c r="F8" s="30" t="s">
        <v>45</v>
      </c>
    </row>
    <row r="9" spans="2:11" ht="21" x14ac:dyDescent="0.5">
      <c r="B9" s="28" t="s">
        <v>33</v>
      </c>
      <c r="C9" s="32">
        <f>'Raw Data '!C10/'Raw Data '!C6*100</f>
        <v>17.26894428544021</v>
      </c>
      <c r="D9" s="32">
        <f>'Raw Data '!D10/'Raw Data '!D6*100</f>
        <v>19.496496338870955</v>
      </c>
      <c r="E9" s="32">
        <f>'Raw Data '!E10/'Raw Data '!E6*100</f>
        <v>16.877351714455955</v>
      </c>
      <c r="F9" s="30" t="s">
        <v>45</v>
      </c>
    </row>
    <row r="10" spans="2:11" ht="21" x14ac:dyDescent="0.5">
      <c r="B10" s="28" t="s">
        <v>34</v>
      </c>
      <c r="C10" s="32">
        <f>'Raw Data '!C16/'Raw Data '!C28*100</f>
        <v>8.9383156327627251</v>
      </c>
      <c r="D10" s="32">
        <f>'Raw Data '!D16/'Raw Data '!D28*100</f>
        <v>8.5354314378669844</v>
      </c>
      <c r="E10" s="32">
        <f>'Raw Data '!E16/'Raw Data '!E28*100</f>
        <v>8.0533781816236907</v>
      </c>
      <c r="F10" s="30" t="s">
        <v>46</v>
      </c>
    </row>
    <row r="11" spans="2:11" ht="21" x14ac:dyDescent="0.5">
      <c r="B11" s="28" t="s">
        <v>36</v>
      </c>
      <c r="C11" s="32">
        <f>'Raw Data '!C16/'Raw Data '!C27*100</f>
        <v>4.6090936407223699</v>
      </c>
      <c r="D11" s="32">
        <f>'Raw Data '!D16/'Raw Data '!D27*100</f>
        <v>4.5000358772792035</v>
      </c>
      <c r="E11" s="32">
        <f>'Raw Data '!E16/'Raw Data '!E27*100</f>
        <v>4.1694335889926837</v>
      </c>
      <c r="F11" s="30" t="s">
        <v>47</v>
      </c>
    </row>
    <row r="12" spans="2:11" ht="21" x14ac:dyDescent="0.5">
      <c r="B12" s="28"/>
      <c r="C12" s="30"/>
      <c r="D12" s="30"/>
      <c r="E12" s="30"/>
      <c r="F12" s="28"/>
    </row>
    <row r="13" spans="2:11" ht="21" x14ac:dyDescent="0.5">
      <c r="B13" s="31" t="s">
        <v>37</v>
      </c>
      <c r="C13" s="30"/>
      <c r="D13" s="30"/>
      <c r="E13" s="30"/>
      <c r="F13" s="28"/>
    </row>
    <row r="14" spans="2:11" ht="21" x14ac:dyDescent="0.5">
      <c r="B14" s="28" t="s">
        <v>38</v>
      </c>
      <c r="C14" s="32">
        <f>'Raw Data '!C22/'Raw Data '!C23</f>
        <v>1.0746772526614494</v>
      </c>
      <c r="D14" s="32">
        <f>'Raw Data '!D22/'Raw Data '!D23</f>
        <v>1.1830373433123536</v>
      </c>
      <c r="E14" s="32">
        <f>'Raw Data '!E22/'Raw Data '!E23</f>
        <v>1.1003510844387827</v>
      </c>
      <c r="F14" s="30" t="s">
        <v>48</v>
      </c>
    </row>
    <row r="15" spans="2:11" ht="21" x14ac:dyDescent="0.5">
      <c r="B15" s="28" t="s">
        <v>39</v>
      </c>
      <c r="C15" s="32">
        <f>('Raw Data '!C22-'Raw Data '!C24)/'Raw Data '!C23</f>
        <v>0.7208920941115825</v>
      </c>
      <c r="D15" s="32">
        <f>('Raw Data '!D22-'Raw Data '!D24)/'Raw Data '!D23</f>
        <v>0.88230275790390245</v>
      </c>
      <c r="E15" s="32">
        <f>('Raw Data '!E22-'Raw Data '!E24)/'Raw Data '!E23</f>
        <v>0.83872595798887906</v>
      </c>
      <c r="F15" s="30" t="s">
        <v>49</v>
      </c>
    </row>
    <row r="16" spans="2:11" ht="21" x14ac:dyDescent="0.5">
      <c r="B16" s="28"/>
      <c r="C16" s="32"/>
      <c r="D16" s="32"/>
      <c r="E16" s="32"/>
      <c r="F16" s="28"/>
    </row>
    <row r="17" spans="2:6" ht="21" x14ac:dyDescent="0.5">
      <c r="B17" s="31" t="s">
        <v>40</v>
      </c>
      <c r="C17" s="32"/>
      <c r="D17" s="32"/>
      <c r="E17" s="32"/>
      <c r="F17" s="28"/>
    </row>
    <row r="18" spans="2:6" ht="21" x14ac:dyDescent="0.5">
      <c r="B18" s="28" t="s">
        <v>41</v>
      </c>
      <c r="C18" s="32">
        <f>'Raw Data '!C29/'Raw Data '!C28</f>
        <v>0.37878296160727537</v>
      </c>
      <c r="D18" s="32">
        <f>'Raw Data '!D29/'Raw Data '!D28</f>
        <v>0.35064399192903772</v>
      </c>
      <c r="E18" s="32">
        <f>'Raw Data '!E29/'Raw Data '!E28</f>
        <v>0.34421657128481242</v>
      </c>
      <c r="F18" s="30" t="s">
        <v>50</v>
      </c>
    </row>
    <row r="19" spans="2:6" ht="21" x14ac:dyDescent="0.5">
      <c r="B19" s="28" t="s">
        <v>42</v>
      </c>
      <c r="C19" s="32">
        <f>'Raw Data '!C12/'Raw Data '!C13</f>
        <v>5.7823820959583054</v>
      </c>
      <c r="D19" s="32">
        <f>'Raw Data '!D12/'Raw Data '!D13</f>
        <v>5.5133662081494936</v>
      </c>
      <c r="E19" s="32">
        <f>'Raw Data '!E12/'Raw Data '!E13</f>
        <v>5.3684123779306931</v>
      </c>
      <c r="F19" s="30" t="s">
        <v>51</v>
      </c>
    </row>
    <row r="20" spans="2:6" ht="21" x14ac:dyDescent="0.5">
      <c r="B20" s="28"/>
      <c r="C20" s="32"/>
      <c r="D20" s="32"/>
      <c r="E20" s="32"/>
      <c r="F20" s="28"/>
    </row>
    <row r="21" spans="2:6" ht="21" x14ac:dyDescent="0.5">
      <c r="B21" s="31" t="s">
        <v>43</v>
      </c>
      <c r="C21" s="32"/>
      <c r="D21" s="32"/>
      <c r="E21" s="32"/>
      <c r="F21" s="28"/>
    </row>
    <row r="22" spans="2:6" ht="21" x14ac:dyDescent="0.5">
      <c r="B22" s="28" t="s">
        <v>44</v>
      </c>
      <c r="C22" s="32">
        <f>'Raw Data '!C6/'Raw Data '!C27</f>
        <v>0.55449409648065762</v>
      </c>
      <c r="D22" s="32">
        <f>'Raw Data '!D6/'Raw Data '!D27</f>
        <v>0.52077408362025668</v>
      </c>
      <c r="E22" s="32">
        <f>'Raw Data '!E6/'Raw Data '!E27</f>
        <v>0.50260265901449197</v>
      </c>
      <c r="F22" s="30" t="s">
        <v>45</v>
      </c>
    </row>
  </sheetData>
  <mergeCells count="1">
    <mergeCell ref="H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7C0C3-FCAD-4F1A-BC25-8DC14812329A}">
  <dimension ref="A1:Q58"/>
  <sheetViews>
    <sheetView zoomScaleNormal="100" workbookViewId="0">
      <selection activeCell="N59" sqref="N59"/>
    </sheetView>
  </sheetViews>
  <sheetFormatPr defaultRowHeight="14.5" x14ac:dyDescent="0.35"/>
  <cols>
    <col min="1" max="1" width="17.1796875" bestFit="1" customWidth="1"/>
    <col min="9" max="9" width="17.453125" bestFit="1" customWidth="1"/>
    <col min="14" max="14" width="13" bestFit="1" customWidth="1"/>
  </cols>
  <sheetData>
    <row r="1" spans="1:14" ht="18.5" x14ac:dyDescent="0.45">
      <c r="D1" s="3"/>
      <c r="G1" s="12" t="s">
        <v>59</v>
      </c>
      <c r="H1" s="12"/>
      <c r="I1" s="12"/>
      <c r="J1" s="12"/>
      <c r="K1" s="12"/>
      <c r="L1" s="12"/>
      <c r="M1" s="12"/>
      <c r="N1" s="12"/>
    </row>
    <row r="2" spans="1:14" x14ac:dyDescent="0.35">
      <c r="B2" s="5" t="s">
        <v>54</v>
      </c>
      <c r="C2" s="5"/>
      <c r="D2" s="5"/>
    </row>
    <row r="3" spans="1:14" x14ac:dyDescent="0.35">
      <c r="A3" s="2"/>
      <c r="B3" s="4" t="s">
        <v>12</v>
      </c>
      <c r="C3" s="4" t="s">
        <v>13</v>
      </c>
      <c r="D3" s="4" t="s">
        <v>29</v>
      </c>
    </row>
    <row r="4" spans="1:14" x14ac:dyDescent="0.35">
      <c r="A4" s="4" t="s">
        <v>52</v>
      </c>
      <c r="B4" s="2">
        <v>891311</v>
      </c>
      <c r="C4" s="2">
        <v>914472</v>
      </c>
      <c r="D4" s="2">
        <v>980136</v>
      </c>
    </row>
    <row r="5" spans="1:14" x14ac:dyDescent="0.35">
      <c r="A5" s="4" t="s">
        <v>53</v>
      </c>
      <c r="B5" s="2">
        <v>74088</v>
      </c>
      <c r="C5" s="2">
        <v>79020</v>
      </c>
      <c r="D5" s="2">
        <v>81309</v>
      </c>
    </row>
    <row r="7" spans="1:14" x14ac:dyDescent="0.35">
      <c r="A7" s="7"/>
      <c r="B7" s="8" t="s">
        <v>55</v>
      </c>
      <c r="C7" s="8"/>
      <c r="D7" s="8"/>
    </row>
    <row r="8" spans="1:14" x14ac:dyDescent="0.35">
      <c r="A8" s="7"/>
      <c r="B8" s="6" t="s">
        <v>12</v>
      </c>
      <c r="C8" s="6" t="s">
        <v>13</v>
      </c>
      <c r="D8" s="6" t="s">
        <v>29</v>
      </c>
    </row>
    <row r="9" spans="1:14" x14ac:dyDescent="0.35">
      <c r="A9" s="6" t="s">
        <v>30</v>
      </c>
      <c r="B9" s="7">
        <v>33.97</v>
      </c>
      <c r="C9" s="7">
        <v>35.99</v>
      </c>
      <c r="D9" s="7">
        <v>35.75</v>
      </c>
    </row>
    <row r="10" spans="1:14" x14ac:dyDescent="0.35">
      <c r="A10" s="6" t="s">
        <v>32</v>
      </c>
      <c r="B10" s="7">
        <v>8.31</v>
      </c>
      <c r="C10" s="7">
        <v>8.64</v>
      </c>
      <c r="D10" s="7">
        <v>8.2899999999999991</v>
      </c>
    </row>
    <row r="11" spans="1:14" x14ac:dyDescent="0.35">
      <c r="A11" s="6" t="s">
        <v>33</v>
      </c>
      <c r="B11" s="7">
        <v>17.27</v>
      </c>
      <c r="C11" s="7">
        <v>19.489999999999998</v>
      </c>
      <c r="D11" s="7">
        <v>16.88</v>
      </c>
    </row>
    <row r="13" spans="1:14" x14ac:dyDescent="0.35">
      <c r="A13" s="2"/>
      <c r="B13" s="9" t="s">
        <v>56</v>
      </c>
      <c r="C13" s="9"/>
      <c r="D13" s="9"/>
    </row>
    <row r="14" spans="1:14" x14ac:dyDescent="0.35">
      <c r="A14" s="2"/>
      <c r="B14" s="6" t="s">
        <v>12</v>
      </c>
      <c r="C14" s="6" t="s">
        <v>13</v>
      </c>
      <c r="D14" s="6" t="s">
        <v>29</v>
      </c>
    </row>
    <row r="15" spans="1:14" x14ac:dyDescent="0.35">
      <c r="A15" s="4" t="s">
        <v>38</v>
      </c>
      <c r="B15" s="2">
        <v>1.07</v>
      </c>
      <c r="C15" s="2">
        <v>1.18</v>
      </c>
      <c r="D15" s="2">
        <v>1.1000000000000001</v>
      </c>
    </row>
    <row r="16" spans="1:14" x14ac:dyDescent="0.35">
      <c r="A16" s="4" t="s">
        <v>39</v>
      </c>
      <c r="B16" s="2">
        <v>0.72</v>
      </c>
      <c r="C16" s="2">
        <v>0.88</v>
      </c>
      <c r="D16" s="2">
        <v>0.84</v>
      </c>
    </row>
    <row r="18" spans="1:4" x14ac:dyDescent="0.35">
      <c r="B18" s="9" t="s">
        <v>57</v>
      </c>
      <c r="C18" s="9"/>
      <c r="D18" s="9"/>
    </row>
    <row r="19" spans="1:4" x14ac:dyDescent="0.35">
      <c r="B19" s="6" t="s">
        <v>12</v>
      </c>
      <c r="C19" s="6" t="s">
        <v>13</v>
      </c>
      <c r="D19" s="6" t="s">
        <v>29</v>
      </c>
    </row>
    <row r="20" spans="1:4" x14ac:dyDescent="0.35">
      <c r="A20" s="4" t="s">
        <v>41</v>
      </c>
      <c r="B20" s="10">
        <v>0.38</v>
      </c>
      <c r="C20" s="10">
        <v>0.35</v>
      </c>
      <c r="D20" s="10">
        <v>0.34</v>
      </c>
    </row>
    <row r="22" spans="1:4" x14ac:dyDescent="0.35">
      <c r="B22" s="9" t="s">
        <v>58</v>
      </c>
      <c r="C22" s="9"/>
      <c r="D22" s="9"/>
    </row>
    <row r="23" spans="1:4" x14ac:dyDescent="0.35">
      <c r="B23" s="6" t="s">
        <v>12</v>
      </c>
      <c r="C23" s="6" t="s">
        <v>13</v>
      </c>
      <c r="D23" s="6" t="s">
        <v>29</v>
      </c>
    </row>
    <row r="24" spans="1:4" x14ac:dyDescent="0.35">
      <c r="A24" s="4" t="s">
        <v>34</v>
      </c>
      <c r="B24" s="11">
        <v>8.94</v>
      </c>
      <c r="C24" s="11">
        <v>8.5299999999999994</v>
      </c>
      <c r="D24" s="11">
        <v>8.0500000000000007</v>
      </c>
    </row>
    <row r="25" spans="1:4" x14ac:dyDescent="0.35">
      <c r="A25" s="4" t="s">
        <v>36</v>
      </c>
      <c r="B25" s="11">
        <v>4.6100000000000003</v>
      </c>
      <c r="C25" s="11">
        <v>4.5</v>
      </c>
      <c r="D25" s="11">
        <v>4.17</v>
      </c>
    </row>
    <row r="43" spans="9:17" x14ac:dyDescent="0.35">
      <c r="J43" s="5"/>
      <c r="K43" s="5"/>
      <c r="L43" s="5"/>
    </row>
    <row r="44" spans="9:17" x14ac:dyDescent="0.35">
      <c r="I44" s="13"/>
      <c r="J44" s="16" t="s">
        <v>54</v>
      </c>
      <c r="K44" s="16"/>
      <c r="L44" s="16"/>
      <c r="N44" s="13"/>
      <c r="O44" s="18" t="s">
        <v>57</v>
      </c>
      <c r="P44" s="18"/>
      <c r="Q44" s="18"/>
    </row>
    <row r="45" spans="9:17" x14ac:dyDescent="0.35">
      <c r="I45" s="15"/>
      <c r="J45" s="17" t="s">
        <v>12</v>
      </c>
      <c r="K45" s="17" t="s">
        <v>13</v>
      </c>
      <c r="L45" s="17" t="s">
        <v>29</v>
      </c>
      <c r="N45" s="13"/>
      <c r="O45" s="19" t="s">
        <v>12</v>
      </c>
      <c r="P45" s="19" t="s">
        <v>13</v>
      </c>
      <c r="Q45" s="19" t="s">
        <v>29</v>
      </c>
    </row>
    <row r="46" spans="9:17" x14ac:dyDescent="0.35">
      <c r="I46" s="17" t="s">
        <v>52</v>
      </c>
      <c r="J46" s="15">
        <v>891311</v>
      </c>
      <c r="K46" s="15">
        <v>914472</v>
      </c>
      <c r="L46" s="15">
        <v>980136</v>
      </c>
      <c r="N46" s="17" t="s">
        <v>41</v>
      </c>
      <c r="O46" s="20">
        <v>0.38</v>
      </c>
      <c r="P46" s="20">
        <v>0.35</v>
      </c>
      <c r="Q46" s="20">
        <v>0.34</v>
      </c>
    </row>
    <row r="47" spans="9:17" x14ac:dyDescent="0.35">
      <c r="I47" s="17" t="s">
        <v>53</v>
      </c>
      <c r="J47" s="15">
        <v>74088</v>
      </c>
      <c r="K47" s="15">
        <v>79020</v>
      </c>
      <c r="L47" s="15">
        <v>81309</v>
      </c>
      <c r="N47" s="13"/>
      <c r="O47" s="13"/>
      <c r="P47" s="13"/>
      <c r="Q47" s="13"/>
    </row>
    <row r="49" spans="9:17" x14ac:dyDescent="0.35">
      <c r="I49" s="21"/>
      <c r="J49" s="22" t="s">
        <v>55</v>
      </c>
      <c r="K49" s="22"/>
      <c r="L49" s="22"/>
      <c r="N49" s="13"/>
      <c r="O49" s="18" t="s">
        <v>58</v>
      </c>
      <c r="P49" s="18"/>
      <c r="Q49" s="18"/>
    </row>
    <row r="50" spans="9:17" x14ac:dyDescent="0.35">
      <c r="I50" s="21"/>
      <c r="J50" s="19" t="s">
        <v>12</v>
      </c>
      <c r="K50" s="19" t="s">
        <v>13</v>
      </c>
      <c r="L50" s="19" t="s">
        <v>29</v>
      </c>
      <c r="N50" s="13"/>
      <c r="O50" s="19" t="s">
        <v>12</v>
      </c>
      <c r="P50" s="19" t="s">
        <v>13</v>
      </c>
      <c r="Q50" s="19" t="s">
        <v>29</v>
      </c>
    </row>
    <row r="51" spans="9:17" x14ac:dyDescent="0.35">
      <c r="I51" s="19" t="s">
        <v>30</v>
      </c>
      <c r="J51" s="21">
        <v>33.97</v>
      </c>
      <c r="K51" s="21">
        <v>35.99</v>
      </c>
      <c r="L51" s="21">
        <v>35.75</v>
      </c>
      <c r="N51" s="17" t="s">
        <v>34</v>
      </c>
      <c r="O51" s="23">
        <v>8.94</v>
      </c>
      <c r="P51" s="23">
        <v>8.5299999999999994</v>
      </c>
      <c r="Q51" s="23">
        <v>8.0500000000000007</v>
      </c>
    </row>
    <row r="52" spans="9:17" x14ac:dyDescent="0.35">
      <c r="I52" s="19" t="s">
        <v>32</v>
      </c>
      <c r="J52" s="21">
        <v>8.31</v>
      </c>
      <c r="K52" s="21">
        <v>8.64</v>
      </c>
      <c r="L52" s="21">
        <v>8.2899999999999991</v>
      </c>
      <c r="N52" s="17" t="s">
        <v>36</v>
      </c>
      <c r="O52" s="23">
        <v>4.6100000000000003</v>
      </c>
      <c r="P52" s="23">
        <v>4.5</v>
      </c>
      <c r="Q52" s="23">
        <v>4.17</v>
      </c>
    </row>
    <row r="53" spans="9:17" x14ac:dyDescent="0.35">
      <c r="I53" s="19" t="s">
        <v>33</v>
      </c>
      <c r="J53" s="21">
        <v>17.27</v>
      </c>
      <c r="K53" s="21">
        <v>19.489999999999998</v>
      </c>
      <c r="L53" s="21">
        <v>16.88</v>
      </c>
    </row>
    <row r="55" spans="9:17" x14ac:dyDescent="0.35">
      <c r="I55" s="15"/>
      <c r="J55" s="18" t="s">
        <v>56</v>
      </c>
      <c r="K55" s="18"/>
      <c r="L55" s="18"/>
    </row>
    <row r="56" spans="9:17" x14ac:dyDescent="0.35">
      <c r="I56" s="15"/>
      <c r="J56" s="19" t="s">
        <v>12</v>
      </c>
      <c r="K56" s="19" t="s">
        <v>13</v>
      </c>
      <c r="L56" s="19" t="s">
        <v>29</v>
      </c>
    </row>
    <row r="57" spans="9:17" x14ac:dyDescent="0.35">
      <c r="I57" s="17" t="s">
        <v>38</v>
      </c>
      <c r="J57" s="15">
        <v>1.07</v>
      </c>
      <c r="K57" s="15">
        <v>1.18</v>
      </c>
      <c r="L57" s="15">
        <v>1.1000000000000001</v>
      </c>
    </row>
    <row r="58" spans="9:17" x14ac:dyDescent="0.35">
      <c r="I58" s="17" t="s">
        <v>39</v>
      </c>
      <c r="J58" s="15">
        <v>0.72</v>
      </c>
      <c r="K58" s="15">
        <v>0.88</v>
      </c>
      <c r="L58" s="15">
        <v>0.84</v>
      </c>
    </row>
  </sheetData>
  <mergeCells count="12">
    <mergeCell ref="O49:Q49"/>
    <mergeCell ref="O44:Q44"/>
    <mergeCell ref="G1:N1"/>
    <mergeCell ref="J44:L44"/>
    <mergeCell ref="J49:L49"/>
    <mergeCell ref="J55:L55"/>
    <mergeCell ref="J43:L43"/>
    <mergeCell ref="B2:D2"/>
    <mergeCell ref="B7:D7"/>
    <mergeCell ref="B13:D13"/>
    <mergeCell ref="B18:D18"/>
    <mergeCell ref="B22:D2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 </vt:lpstr>
      <vt:lpstr>Ratio 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NaaVxAbhi</dc:creator>
  <cp:lastModifiedBy> </cp:lastModifiedBy>
  <dcterms:created xsi:type="dcterms:W3CDTF">2026-03-23T19:48:08Z</dcterms:created>
  <dcterms:modified xsi:type="dcterms:W3CDTF">2026-03-24T08:29:53Z</dcterms:modified>
</cp:coreProperties>
</file>